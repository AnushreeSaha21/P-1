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fiu_depository\"/>
    </mc:Choice>
  </mc:AlternateContent>
  <xr:revisionPtr revIDLastSave="0" documentId="13_ncr:1_{B554A601-12B0-4695-AE51-9955376557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nsaction Summary" sheetId="2" r:id="rId1"/>
  </sheets>
  <calcPr calcId="191029"/>
</workbook>
</file>

<file path=xl/calcChain.xml><?xml version="1.0" encoding="utf-8"?>
<calcChain xmlns="http://schemas.openxmlformats.org/spreadsheetml/2006/main">
  <c r="S48" i="2" l="1"/>
  <c r="U48" i="2" s="1"/>
  <c r="S47" i="2"/>
  <c r="U47" i="2" s="1"/>
  <c r="S46" i="2"/>
  <c r="U46" i="2" s="1"/>
  <c r="S45" i="2"/>
  <c r="U45" i="2" s="1"/>
  <c r="S44" i="2"/>
  <c r="U44" i="2" s="1"/>
  <c r="S43" i="2"/>
  <c r="U43" i="2" s="1"/>
  <c r="S42" i="2"/>
  <c r="U42" i="2" s="1"/>
  <c r="S41" i="2"/>
  <c r="U41" i="2" s="1"/>
  <c r="S40" i="2"/>
  <c r="U40" i="2" s="1"/>
  <c r="S39" i="2"/>
  <c r="U39" i="2" s="1"/>
  <c r="S38" i="2"/>
  <c r="U38" i="2" s="1"/>
  <c r="S37" i="2"/>
  <c r="U37" i="2" s="1"/>
  <c r="S36" i="2"/>
  <c r="U36" i="2" s="1"/>
  <c r="S35" i="2"/>
  <c r="U35" i="2" s="1"/>
  <c r="S34" i="2"/>
  <c r="U34" i="2" s="1"/>
  <c r="S33" i="2"/>
  <c r="U33" i="2" s="1"/>
  <c r="S32" i="2"/>
  <c r="U32" i="2" s="1"/>
  <c r="S31" i="2"/>
  <c r="U31" i="2" s="1"/>
  <c r="S30" i="2"/>
  <c r="U30" i="2" s="1"/>
  <c r="S29" i="2"/>
  <c r="U29" i="2" s="1"/>
  <c r="S28" i="2"/>
  <c r="U28" i="2" s="1"/>
  <c r="S27" i="2"/>
  <c r="U27" i="2" s="1"/>
  <c r="S26" i="2"/>
  <c r="U26" i="2" s="1"/>
  <c r="S25" i="2"/>
  <c r="U25" i="2" s="1"/>
  <c r="S24" i="2"/>
  <c r="U24" i="2" s="1"/>
  <c r="S23" i="2"/>
  <c r="U23" i="2" s="1"/>
  <c r="S22" i="2"/>
  <c r="U22" i="2" s="1"/>
  <c r="S21" i="2"/>
  <c r="U21" i="2" s="1"/>
  <c r="S20" i="2"/>
  <c r="U20" i="2" s="1"/>
  <c r="S19" i="2"/>
  <c r="U19" i="2" s="1"/>
  <c r="S18" i="2"/>
  <c r="U18" i="2" s="1"/>
  <c r="S17" i="2"/>
  <c r="U17" i="2" s="1"/>
  <c r="S16" i="2"/>
  <c r="U16" i="2" s="1"/>
  <c r="S15" i="2"/>
  <c r="U15" i="2" s="1"/>
  <c r="S14" i="2"/>
  <c r="U14" i="2" s="1"/>
  <c r="S13" i="2"/>
  <c r="U13" i="2" s="1"/>
  <c r="S12" i="2"/>
  <c r="U12" i="2" s="1"/>
  <c r="S11" i="2"/>
  <c r="U11" i="2" s="1"/>
  <c r="S10" i="2"/>
  <c r="U10" i="2" s="1"/>
  <c r="S9" i="2"/>
  <c r="U9" i="2" s="1"/>
  <c r="S8" i="2"/>
  <c r="U8" i="2" s="1"/>
  <c r="S7" i="2"/>
  <c r="U7" i="2" s="1"/>
  <c r="S6" i="2"/>
  <c r="U6" i="2" s="1"/>
  <c r="S5" i="2"/>
  <c r="U5" i="2" s="1"/>
  <c r="S4" i="2"/>
  <c r="U4" i="2" s="1"/>
  <c r="S3" i="2"/>
  <c r="U3" i="2" s="1"/>
  <c r="S2" i="2"/>
  <c r="U2" i="2" l="1"/>
</calcChain>
</file>

<file path=xl/sharedStrings.xml><?xml version="1.0" encoding="utf-8"?>
<sst xmlns="http://schemas.openxmlformats.org/spreadsheetml/2006/main" count="585" uniqueCount="302">
  <si>
    <t>BO-ID</t>
  </si>
  <si>
    <t>CUSTOMER-NAME</t>
  </si>
  <si>
    <t>PAN-NO</t>
  </si>
  <si>
    <t>BANK A/C</t>
  </si>
  <si>
    <t>BANK NAME</t>
  </si>
  <si>
    <t>IFSC CODE</t>
  </si>
  <si>
    <t>CUSTOMER-ADDRESS</t>
  </si>
  <si>
    <t>CITY</t>
  </si>
  <si>
    <t>PIN</t>
  </si>
  <si>
    <t>ISIN-CODE</t>
  </si>
  <si>
    <t>ISIN-NAME</t>
  </si>
  <si>
    <t>DR/CR</t>
  </si>
  <si>
    <t>MARKET-TOTAL</t>
  </si>
  <si>
    <t>REMAT-TOTAL</t>
  </si>
  <si>
    <t>DEMAT-TOTAL</t>
  </si>
  <si>
    <t>CA-TOTAL</t>
  </si>
  <si>
    <t>IPO-TOTAL</t>
  </si>
  <si>
    <t>CONFIS-TOTAL</t>
  </si>
  <si>
    <t>GRAND-TOTAL</t>
  </si>
  <si>
    <t>ISIN-PRICE</t>
  </si>
  <si>
    <t>VALUATION</t>
  </si>
  <si>
    <t>1201090091994480</t>
  </si>
  <si>
    <t>Sai Reddy</t>
  </si>
  <si>
    <t>UQVCJ2654J</t>
  </si>
  <si>
    <t>2258182588</t>
  </si>
  <si>
    <t>ICICI Bank</t>
  </si>
  <si>
    <t>ICIC0394104</t>
  </si>
  <si>
    <t>416, Main Rd, Block A</t>
  </si>
  <si>
    <t>Mumbai</t>
  </si>
  <si>
    <t>400001</t>
  </si>
  <si>
    <t>INE406A01037</t>
  </si>
  <si>
    <t>INFOSYS LTD</t>
  </si>
  <si>
    <t>CR</t>
  </si>
  <si>
    <t>1201090044076287</t>
  </si>
  <si>
    <t>Reyansh Gupta</t>
  </si>
  <si>
    <t>HCHGB9674E</t>
  </si>
  <si>
    <t>3992946282</t>
  </si>
  <si>
    <t>ICIC0268111</t>
  </si>
  <si>
    <t>96, Main Rd, Block A</t>
  </si>
  <si>
    <t>Hyderabad</t>
  </si>
  <si>
    <t>500001</t>
  </si>
  <si>
    <t>DR</t>
  </si>
  <si>
    <t>1201090073987306</t>
  </si>
  <si>
    <t>Arjun Rao</t>
  </si>
  <si>
    <t>RALLB9492P</t>
  </si>
  <si>
    <t>2157298601</t>
  </si>
  <si>
    <t>Axis Bank</t>
  </si>
  <si>
    <t>UTIB0669621</t>
  </si>
  <si>
    <t>341, Main Rd, Block C</t>
  </si>
  <si>
    <t>Delhi</t>
  </si>
  <si>
    <t>110001</t>
  </si>
  <si>
    <t>INE002A01018</t>
  </si>
  <si>
    <t>RELIANCE INDUSTRIES LTD</t>
  </si>
  <si>
    <t>1201090079034521</t>
  </si>
  <si>
    <t>Ishaan Mishra</t>
  </si>
  <si>
    <t>SXSCI4414N</t>
  </si>
  <si>
    <t>5280065870</t>
  </si>
  <si>
    <t>UTIB0239156</t>
  </si>
  <si>
    <t>287, Main Rd, Block B</t>
  </si>
  <si>
    <t>Bengaluru</t>
  </si>
  <si>
    <t>560001</t>
  </si>
  <si>
    <t>INE040A01034</t>
  </si>
  <si>
    <t>TATA CONSULTANCY SERVICES</t>
  </si>
  <si>
    <t>1201090028263354</t>
  </si>
  <si>
    <t>Krishna Kumar</t>
  </si>
  <si>
    <t>KBMEN3200U</t>
  </si>
  <si>
    <t>1541063457</t>
  </si>
  <si>
    <t>Punjab National Bank</t>
  </si>
  <si>
    <t>PUNB0177673</t>
  </si>
  <si>
    <t>276, Main Rd, Block A</t>
  </si>
  <si>
    <t>1201090027375308</t>
  </si>
  <si>
    <t>Arnav Joshi</t>
  </si>
  <si>
    <t>DJUJJ1963X</t>
  </si>
  <si>
    <t>1330229990</t>
  </si>
  <si>
    <t>UTIB0957892</t>
  </si>
  <si>
    <t>39, Main Rd, Block B</t>
  </si>
  <si>
    <t>Chennai</t>
  </si>
  <si>
    <t>600001</t>
  </si>
  <si>
    <t>1201090048604456</t>
  </si>
  <si>
    <t>Aayan Shah</t>
  </si>
  <si>
    <t>PKSWP5746G</t>
  </si>
  <si>
    <t>7130138444</t>
  </si>
  <si>
    <t>HDFC Bank</t>
  </si>
  <si>
    <t>HDFC0722446</t>
  </si>
  <si>
    <t>118, Main Rd, Block C</t>
  </si>
  <si>
    <t>1201090090424535</t>
  </si>
  <si>
    <t>Ananya Nair</t>
  </si>
  <si>
    <t>UGBYI2102T</t>
  </si>
  <si>
    <t>5379337380</t>
  </si>
  <si>
    <t>HDFC0530649</t>
  </si>
  <si>
    <t>88, Main Rd, Block C</t>
  </si>
  <si>
    <t>1201090038334940</t>
  </si>
  <si>
    <t>Diya Iyer</t>
  </si>
  <si>
    <t>EQDVB3234T</t>
  </si>
  <si>
    <t>7902862247</t>
  </si>
  <si>
    <t>ICIC0426011</t>
  </si>
  <si>
    <t>299, Main Rd, Block A</t>
  </si>
  <si>
    <t>1201090081980213</t>
  </si>
  <si>
    <t>Pari Choudhury</t>
  </si>
  <si>
    <t>KYFKC6773G</t>
  </si>
  <si>
    <t>5022912732</t>
  </si>
  <si>
    <t>ICIC0598140</t>
  </si>
  <si>
    <t>158, Main Rd, Block C</t>
  </si>
  <si>
    <t>1201090098471317</t>
  </si>
  <si>
    <t>Pihu Das</t>
  </si>
  <si>
    <t>OWAXL8429S</t>
  </si>
  <si>
    <t>8086250562</t>
  </si>
  <si>
    <t>UTIB0979881</t>
  </si>
  <si>
    <t>257, Main Rd, Block C</t>
  </si>
  <si>
    <t>1201090092050331</t>
  </si>
  <si>
    <t>Isha Gill</t>
  </si>
  <si>
    <t>JKEYY9427D</t>
  </si>
  <si>
    <t>6003923255</t>
  </si>
  <si>
    <t>UTIB0971507</t>
  </si>
  <si>
    <t>188, Main Rd, Block C</t>
  </si>
  <si>
    <t>1201090013586884</t>
  </si>
  <si>
    <t>Aadhya Saxena</t>
  </si>
  <si>
    <t>LUXJW9226K</t>
  </si>
  <si>
    <t>4887280042</t>
  </si>
  <si>
    <t>State Bank of India</t>
  </si>
  <si>
    <t>SBIN0155840</t>
  </si>
  <si>
    <t>354, Main Rd, Block A</t>
  </si>
  <si>
    <t>1201090038765489</t>
  </si>
  <si>
    <t>Avani Kulkarni</t>
  </si>
  <si>
    <t>YRINR4711N</t>
  </si>
  <si>
    <t>4427984522</t>
  </si>
  <si>
    <t>ICIC0247918</t>
  </si>
  <si>
    <t>394, Main Rd, Block C</t>
  </si>
  <si>
    <t>1201090081204436</t>
  </si>
  <si>
    <t>Saisha Banerjee</t>
  </si>
  <si>
    <t>NDZXV6752H</t>
  </si>
  <si>
    <t>4180054824</t>
  </si>
  <si>
    <t>PUNB0473962</t>
  </si>
  <si>
    <t>473, Main Rd, Block C</t>
  </si>
  <si>
    <t>1201090057111951</t>
  </si>
  <si>
    <t>Riya Malhotra</t>
  </si>
  <si>
    <t>SKLYZ7859E</t>
  </si>
  <si>
    <t>5864333269</t>
  </si>
  <si>
    <t>ICIC0644252</t>
  </si>
  <si>
    <t>250, Main Rd, Block A</t>
  </si>
  <si>
    <t>1201090022532697</t>
  </si>
  <si>
    <t>Anika Singh</t>
  </si>
  <si>
    <t>QRRFI7717B</t>
  </si>
  <si>
    <t>9186015898</t>
  </si>
  <si>
    <t>HDFC0225919</t>
  </si>
  <si>
    <t>198, Main Rd, Block A</t>
  </si>
  <si>
    <t>1201090015590148</t>
  </si>
  <si>
    <t>Aarav Sharma</t>
  </si>
  <si>
    <t>QXYRH1305R</t>
  </si>
  <si>
    <t>6542878397</t>
  </si>
  <si>
    <t>UTIB0152809</t>
  </si>
  <si>
    <t>220, Main Rd, Block C</t>
  </si>
  <si>
    <t>1201090064509428</t>
  </si>
  <si>
    <t>Vivaan Patel</t>
  </si>
  <si>
    <t>EDETH4475V</t>
  </si>
  <si>
    <t>5259592434</t>
  </si>
  <si>
    <t>SBIN0367649</t>
  </si>
  <si>
    <t>INE062A01020</t>
  </si>
  <si>
    <t>STATE BANK OF INDIA</t>
  </si>
  <si>
    <t>1201090023869638</t>
  </si>
  <si>
    <t>Aditya Verma</t>
  </si>
  <si>
    <t>LVYWM5948S</t>
  </si>
  <si>
    <t>9360977069</t>
  </si>
  <si>
    <t>PUNB0694237</t>
  </si>
  <si>
    <t>371, Main Rd, Block B</t>
  </si>
  <si>
    <t>INE018A01030</t>
  </si>
  <si>
    <t>LARSEN &amp; TOUBRO LTD</t>
  </si>
  <si>
    <t>1201090062645399</t>
  </si>
  <si>
    <t>EZQKJ7974Q</t>
  </si>
  <si>
    <t>1838365760</t>
  </si>
  <si>
    <t>UTIB0117821</t>
  </si>
  <si>
    <t>59, Main Rd, Block C</t>
  </si>
  <si>
    <t>1201090083869765</t>
  </si>
  <si>
    <t>QHMXO6054H</t>
  </si>
  <si>
    <t>4732280929</t>
  </si>
  <si>
    <t>PUNB0778820</t>
  </si>
  <si>
    <t>1, Main Rd, Block B</t>
  </si>
  <si>
    <t>1201090040276769</t>
  </si>
  <si>
    <t>ITOHE7449L</t>
  </si>
  <si>
    <t>3421729053</t>
  </si>
  <si>
    <t>ICIC0311577</t>
  </si>
  <si>
    <t>244, Main Rd, Block C</t>
  </si>
  <si>
    <t>1201090080299537</t>
  </si>
  <si>
    <t>WUASF7711R</t>
  </si>
  <si>
    <t>3978215495</t>
  </si>
  <si>
    <t>UTIB0121548</t>
  </si>
  <si>
    <t>179, Main Rd, Block C</t>
  </si>
  <si>
    <t>1201090011285750</t>
  </si>
  <si>
    <t>USPPZ1465X</t>
  </si>
  <si>
    <t>4874883270</t>
  </si>
  <si>
    <t>ICIC0724096</t>
  </si>
  <si>
    <t>150, Main Rd, Block C</t>
  </si>
  <si>
    <t>1201090019981346</t>
  </si>
  <si>
    <t>OSARU3219R</t>
  </si>
  <si>
    <t>6672074568</t>
  </si>
  <si>
    <t>UTIB0586299</t>
  </si>
  <si>
    <t>88, Main Rd, Block A</t>
  </si>
  <si>
    <t>1201090057932467</t>
  </si>
  <si>
    <t>IOODO8398J</t>
  </si>
  <si>
    <t>4553003710</t>
  </si>
  <si>
    <t>ICIC0355942</t>
  </si>
  <si>
    <t>88, Main Rd, Block B</t>
  </si>
  <si>
    <t>1201090056254307</t>
  </si>
  <si>
    <t>EMLUP7721Y</t>
  </si>
  <si>
    <t>8374641461</t>
  </si>
  <si>
    <t>UTIB0213345</t>
  </si>
  <si>
    <t>64, Main Rd, Block B</t>
  </si>
  <si>
    <t>1201090091507874</t>
  </si>
  <si>
    <t>MWKWL9482P</t>
  </si>
  <si>
    <t>2075307508</t>
  </si>
  <si>
    <t>ICIC0909864</t>
  </si>
  <si>
    <t>449, Main Rd, Block C</t>
  </si>
  <si>
    <t>1201090050879652</t>
  </si>
  <si>
    <t>BCWDW1855K</t>
  </si>
  <si>
    <t>5533613456</t>
  </si>
  <si>
    <t>SBIN0603680</t>
  </si>
  <si>
    <t>307, Main Rd, Block B</t>
  </si>
  <si>
    <t>1201090082877966</t>
  </si>
  <si>
    <t>NFMYH8733F</t>
  </si>
  <si>
    <t>4429999873</t>
  </si>
  <si>
    <t>UTIB0842705</t>
  </si>
  <si>
    <t>175, Main Rd, Block B</t>
  </si>
  <si>
    <t>1201090070236531</t>
  </si>
  <si>
    <t>MZVGG2581F</t>
  </si>
  <si>
    <t>9709536494</t>
  </si>
  <si>
    <t>PUNB0488936</t>
  </si>
  <si>
    <t>381, Main Rd, Block A</t>
  </si>
  <si>
    <t>1201090069563539</t>
  </si>
  <si>
    <t>PYCBW7189G</t>
  </si>
  <si>
    <t>7522982153</t>
  </si>
  <si>
    <t>PUNB0608054</t>
  </si>
  <si>
    <t>425, Main Rd, Block A</t>
  </si>
  <si>
    <t>1201090056492832</t>
  </si>
  <si>
    <t>PLKJU7271K</t>
  </si>
  <si>
    <t>1551266590</t>
  </si>
  <si>
    <t>PUNB0644275</t>
  </si>
  <si>
    <t>61, Main Rd, Block B</t>
  </si>
  <si>
    <t>1201090072748500</t>
  </si>
  <si>
    <t>REQXA7696T</t>
  </si>
  <si>
    <t>3453546216</t>
  </si>
  <si>
    <t>PUNB0407510</t>
  </si>
  <si>
    <t>252, Main Rd, Block C</t>
  </si>
  <si>
    <t>1201090023724217</t>
  </si>
  <si>
    <t>RFSMB4163N</t>
  </si>
  <si>
    <t>7047945907</t>
  </si>
  <si>
    <t>UTIB0175485</t>
  </si>
  <si>
    <t>196, Main Rd, Block C</t>
  </si>
  <si>
    <t>1201090020696863</t>
  </si>
  <si>
    <t>IHRJN1899J</t>
  </si>
  <si>
    <t>9731709348</t>
  </si>
  <si>
    <t>ICIC0346137</t>
  </si>
  <si>
    <t>105, Main Rd, Block C</t>
  </si>
  <si>
    <t>1201090025842968</t>
  </si>
  <si>
    <t>RCGWH1585U</t>
  </si>
  <si>
    <t>6159744242</t>
  </si>
  <si>
    <t>ICIC0395898</t>
  </si>
  <si>
    <t>273, Main Rd, Block C</t>
  </si>
  <si>
    <t>1201090038944172</t>
  </si>
  <si>
    <t>IBYNY8450H</t>
  </si>
  <si>
    <t>8090310815</t>
  </si>
  <si>
    <t>SBIN0350895</t>
  </si>
  <si>
    <t>475, Main Rd, Block B</t>
  </si>
  <si>
    <t>1201090023597119</t>
  </si>
  <si>
    <t>OZEZV1495E</t>
  </si>
  <si>
    <t>7807124858</t>
  </si>
  <si>
    <t>HDFC0569529</t>
  </si>
  <si>
    <t>272, Main Rd, Block A</t>
  </si>
  <si>
    <t>1201090064016894</t>
  </si>
  <si>
    <t>LDFAI7361I</t>
  </si>
  <si>
    <t>1560607743</t>
  </si>
  <si>
    <t>SBIN0325535</t>
  </si>
  <si>
    <t>35, Main Rd, Block B</t>
  </si>
  <si>
    <t>1201090090412457</t>
  </si>
  <si>
    <t>PYSLN2800B</t>
  </si>
  <si>
    <t>9937456005</t>
  </si>
  <si>
    <t>SBIN0551048</t>
  </si>
  <si>
    <t>216, Main Rd, Block A</t>
  </si>
  <si>
    <t>1201090032097793</t>
  </si>
  <si>
    <t>WAEOK5174H</t>
  </si>
  <si>
    <t>8218730502</t>
  </si>
  <si>
    <t>HDFC0317781</t>
  </si>
  <si>
    <t>245, Main Rd, Block B</t>
  </si>
  <si>
    <t>1201090019594667</t>
  </si>
  <si>
    <t>AULKL9879T</t>
  </si>
  <si>
    <t>7560652494</t>
  </si>
  <si>
    <t>PUNB0370441</t>
  </si>
  <si>
    <t>318, Main Rd, Block B</t>
  </si>
  <si>
    <t>1201090016834545</t>
  </si>
  <si>
    <t>QIGTF1288O</t>
  </si>
  <si>
    <t>2924031175</t>
  </si>
  <si>
    <t>PUNB0899398</t>
  </si>
  <si>
    <t>350, Main Rd, Block B</t>
  </si>
  <si>
    <t>1201090096145645</t>
  </si>
  <si>
    <t>SNCLK4899H</t>
  </si>
  <si>
    <t>2531924636</t>
  </si>
  <si>
    <t>PUNB0696048</t>
  </si>
  <si>
    <t>468, Main Rd, Block B</t>
  </si>
  <si>
    <t>1201090024855547</t>
  </si>
  <si>
    <t>UZFZF3095Q</t>
  </si>
  <si>
    <t>4938428060</t>
  </si>
  <si>
    <t>SBIN0573430</t>
  </si>
  <si>
    <t>276, Main Rd, Block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</si>
</sst>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8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20" customWidth="1"/>
    <col min="2" max="2" width="19" customWidth="1"/>
    <col min="3" max="4" width="14" customWidth="1"/>
    <col min="5" max="5" width="24" customWidth="1"/>
    <col min="6" max="6" width="15" customWidth="1"/>
    <col min="7" max="7" width="25" customWidth="1"/>
    <col min="8" max="8" width="13" customWidth="1"/>
    <col min="9" max="9" width="12" customWidth="1"/>
    <col min="10" max="10" width="16" customWidth="1"/>
    <col min="11" max="11" width="29" customWidth="1"/>
    <col min="12" max="12" width="12" customWidth="1"/>
    <col min="13" max="18" width="16" customWidth="1"/>
    <col min="19" max="19" width="17" customWidth="1"/>
    <col min="20" max="20" width="14" customWidth="1"/>
    <col min="21" max="21" width="16" customWidth="1"/>
  </cols>
  <sheetData>
    <row r="1" spans="1:21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 t="s">
        <v>21</v>
      </c>
      <c r="B2" s="5" t="s">
        <v>22</v>
      </c>
      <c r="C2" s="4" t="s">
        <v>23</v>
      </c>
      <c r="D2" s="4" t="s">
        <v>24</v>
      </c>
      <c r="E2" s="5" t="s">
        <v>25</v>
      </c>
      <c r="F2" s="4" t="s">
        <v>26</v>
      </c>
      <c r="G2" s="5" t="s">
        <v>27</v>
      </c>
      <c r="H2" s="5" t="s">
        <v>28</v>
      </c>
      <c r="I2" s="4" t="s">
        <v>29</v>
      </c>
      <c r="J2" s="4" t="s">
        <v>30</v>
      </c>
      <c r="K2" s="5" t="s">
        <v>31</v>
      </c>
      <c r="L2" s="4" t="s">
        <v>32</v>
      </c>
      <c r="M2" s="6">
        <v>0</v>
      </c>
      <c r="N2" s="6">
        <v>0</v>
      </c>
      <c r="O2" s="6">
        <v>1503</v>
      </c>
      <c r="P2" s="6">
        <v>0</v>
      </c>
      <c r="Q2" s="6">
        <v>0</v>
      </c>
      <c r="R2" s="6">
        <v>0</v>
      </c>
      <c r="S2" s="6">
        <f t="shared" ref="S2:S33" si="0">SUM(M2:R2)</f>
        <v>1503</v>
      </c>
      <c r="T2" s="7">
        <v>1420.1</v>
      </c>
      <c r="U2" s="7">
        <f t="shared" ref="U2:U33" si="1">S2*T2</f>
        <v>2134410.2999999998</v>
      </c>
    </row>
    <row r="3" spans="1:21" x14ac:dyDescent="0.25">
      <c r="A3" s="8" t="s">
        <v>33</v>
      </c>
      <c r="B3" s="9" t="s">
        <v>34</v>
      </c>
      <c r="C3" s="8" t="s">
        <v>35</v>
      </c>
      <c r="D3" s="8" t="s">
        <v>36</v>
      </c>
      <c r="E3" s="9" t="s">
        <v>25</v>
      </c>
      <c r="F3" s="8" t="s">
        <v>37</v>
      </c>
      <c r="G3" s="9" t="s">
        <v>38</v>
      </c>
      <c r="H3" s="9" t="s">
        <v>39</v>
      </c>
      <c r="I3" s="8" t="s">
        <v>40</v>
      </c>
      <c r="J3" s="8" t="s">
        <v>30</v>
      </c>
      <c r="K3" s="9" t="s">
        <v>31</v>
      </c>
      <c r="L3" s="8" t="s">
        <v>41</v>
      </c>
      <c r="M3" s="10">
        <v>676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f t="shared" si="0"/>
        <v>676</v>
      </c>
      <c r="T3" s="11">
        <v>1420.1</v>
      </c>
      <c r="U3" s="11">
        <f t="shared" si="1"/>
        <v>959987.6</v>
      </c>
    </row>
    <row r="4" spans="1:21" x14ac:dyDescent="0.25">
      <c r="A4" s="4" t="s">
        <v>42</v>
      </c>
      <c r="B4" s="5" t="s">
        <v>43</v>
      </c>
      <c r="C4" s="4" t="s">
        <v>44</v>
      </c>
      <c r="D4" s="4" t="s">
        <v>45</v>
      </c>
      <c r="E4" s="5" t="s">
        <v>46</v>
      </c>
      <c r="F4" s="4" t="s">
        <v>47</v>
      </c>
      <c r="G4" s="5" t="s">
        <v>48</v>
      </c>
      <c r="H4" s="5" t="s">
        <v>49</v>
      </c>
      <c r="I4" s="4" t="s">
        <v>50</v>
      </c>
      <c r="J4" s="4" t="s">
        <v>51</v>
      </c>
      <c r="K4" s="5" t="s">
        <v>52</v>
      </c>
      <c r="L4" s="4" t="s">
        <v>41</v>
      </c>
      <c r="M4" s="6">
        <v>0</v>
      </c>
      <c r="N4" s="6">
        <v>0</v>
      </c>
      <c r="O4" s="6">
        <v>1521</v>
      </c>
      <c r="P4" s="6">
        <v>0</v>
      </c>
      <c r="Q4" s="6">
        <v>0</v>
      </c>
      <c r="R4" s="6">
        <v>0</v>
      </c>
      <c r="S4" s="6">
        <f t="shared" si="0"/>
        <v>1521</v>
      </c>
      <c r="T4" s="7">
        <v>2450.5</v>
      </c>
      <c r="U4" s="7">
        <f t="shared" si="1"/>
        <v>3727210.5</v>
      </c>
    </row>
    <row r="5" spans="1:21" x14ac:dyDescent="0.25">
      <c r="A5" s="8" t="s">
        <v>53</v>
      </c>
      <c r="B5" s="9" t="s">
        <v>54</v>
      </c>
      <c r="C5" s="8" t="s">
        <v>55</v>
      </c>
      <c r="D5" s="8" t="s">
        <v>56</v>
      </c>
      <c r="E5" s="9" t="s">
        <v>46</v>
      </c>
      <c r="F5" s="8" t="s">
        <v>57</v>
      </c>
      <c r="G5" s="9" t="s">
        <v>58</v>
      </c>
      <c r="H5" s="9" t="s">
        <v>59</v>
      </c>
      <c r="I5" s="8" t="s">
        <v>60</v>
      </c>
      <c r="J5" s="8" t="s">
        <v>61</v>
      </c>
      <c r="K5" s="9" t="s">
        <v>62</v>
      </c>
      <c r="L5" s="8" t="s">
        <v>32</v>
      </c>
      <c r="M5" s="10">
        <v>569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f t="shared" si="0"/>
        <v>569</v>
      </c>
      <c r="T5" s="11">
        <v>3850.25</v>
      </c>
      <c r="U5" s="11">
        <f t="shared" si="1"/>
        <v>2190792.25</v>
      </c>
    </row>
    <row r="6" spans="1:21" x14ac:dyDescent="0.25">
      <c r="A6" s="4" t="s">
        <v>63</v>
      </c>
      <c r="B6" s="5" t="s">
        <v>64</v>
      </c>
      <c r="C6" s="4" t="s">
        <v>65</v>
      </c>
      <c r="D6" s="4" t="s">
        <v>66</v>
      </c>
      <c r="E6" s="5" t="s">
        <v>67</v>
      </c>
      <c r="F6" s="4" t="s">
        <v>68</v>
      </c>
      <c r="G6" s="5" t="s">
        <v>69</v>
      </c>
      <c r="H6" s="5" t="s">
        <v>49</v>
      </c>
      <c r="I6" s="4" t="s">
        <v>50</v>
      </c>
      <c r="J6" s="4" t="s">
        <v>61</v>
      </c>
      <c r="K6" s="5" t="s">
        <v>62</v>
      </c>
      <c r="L6" s="4" t="s">
        <v>32</v>
      </c>
      <c r="M6" s="6">
        <v>0</v>
      </c>
      <c r="N6" s="6">
        <v>0</v>
      </c>
      <c r="O6" s="6">
        <v>522</v>
      </c>
      <c r="P6" s="6">
        <v>0</v>
      </c>
      <c r="Q6" s="6">
        <v>0</v>
      </c>
      <c r="R6" s="6">
        <v>0</v>
      </c>
      <c r="S6" s="6">
        <f t="shared" si="0"/>
        <v>522</v>
      </c>
      <c r="T6" s="7">
        <v>3850.25</v>
      </c>
      <c r="U6" s="7">
        <f t="shared" si="1"/>
        <v>2009830.5</v>
      </c>
    </row>
    <row r="7" spans="1:21" x14ac:dyDescent="0.25">
      <c r="A7" s="8" t="s">
        <v>70</v>
      </c>
      <c r="B7" s="9" t="s">
        <v>71</v>
      </c>
      <c r="C7" s="8" t="s">
        <v>72</v>
      </c>
      <c r="D7" s="8" t="s">
        <v>73</v>
      </c>
      <c r="E7" s="9" t="s">
        <v>46</v>
      </c>
      <c r="F7" s="8" t="s">
        <v>74</v>
      </c>
      <c r="G7" s="9" t="s">
        <v>75</v>
      </c>
      <c r="H7" s="9" t="s">
        <v>76</v>
      </c>
      <c r="I7" s="8" t="s">
        <v>77</v>
      </c>
      <c r="J7" s="8" t="s">
        <v>30</v>
      </c>
      <c r="K7" s="9" t="s">
        <v>31</v>
      </c>
      <c r="L7" s="8" t="s">
        <v>41</v>
      </c>
      <c r="M7" s="10">
        <v>0</v>
      </c>
      <c r="N7" s="10">
        <v>0</v>
      </c>
      <c r="O7" s="10">
        <v>347</v>
      </c>
      <c r="P7" s="10">
        <v>0</v>
      </c>
      <c r="Q7" s="10">
        <v>0</v>
      </c>
      <c r="R7" s="10">
        <v>0</v>
      </c>
      <c r="S7" s="10">
        <f t="shared" si="0"/>
        <v>347</v>
      </c>
      <c r="T7" s="11">
        <v>1420.1</v>
      </c>
      <c r="U7" s="11">
        <f t="shared" si="1"/>
        <v>492774.69999999995</v>
      </c>
    </row>
    <row r="8" spans="1:21" x14ac:dyDescent="0.25">
      <c r="A8" s="4" t="s">
        <v>78</v>
      </c>
      <c r="B8" s="5" t="s">
        <v>79</v>
      </c>
      <c r="C8" s="4" t="s">
        <v>80</v>
      </c>
      <c r="D8" s="4" t="s">
        <v>81</v>
      </c>
      <c r="E8" s="5" t="s">
        <v>82</v>
      </c>
      <c r="F8" s="4" t="s">
        <v>83</v>
      </c>
      <c r="G8" s="5" t="s">
        <v>84</v>
      </c>
      <c r="H8" s="5" t="s">
        <v>49</v>
      </c>
      <c r="I8" s="4" t="s">
        <v>50</v>
      </c>
      <c r="J8" s="4" t="s">
        <v>61</v>
      </c>
      <c r="K8" s="5" t="s">
        <v>62</v>
      </c>
      <c r="L8" s="4" t="s">
        <v>41</v>
      </c>
      <c r="M8" s="6">
        <v>1466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f t="shared" si="0"/>
        <v>1466</v>
      </c>
      <c r="T8" s="7">
        <v>3850.25</v>
      </c>
      <c r="U8" s="7">
        <f t="shared" si="1"/>
        <v>5644466.5</v>
      </c>
    </row>
    <row r="9" spans="1:21" x14ac:dyDescent="0.25">
      <c r="A9" s="8" t="s">
        <v>85</v>
      </c>
      <c r="B9" s="9" t="s">
        <v>86</v>
      </c>
      <c r="C9" s="8" t="s">
        <v>87</v>
      </c>
      <c r="D9" s="8" t="s">
        <v>88</v>
      </c>
      <c r="E9" s="9" t="s">
        <v>82</v>
      </c>
      <c r="F9" s="8" t="s">
        <v>89</v>
      </c>
      <c r="G9" s="9" t="s">
        <v>90</v>
      </c>
      <c r="H9" s="9" t="s">
        <v>28</v>
      </c>
      <c r="I9" s="8" t="s">
        <v>29</v>
      </c>
      <c r="J9" s="8" t="s">
        <v>61</v>
      </c>
      <c r="K9" s="9" t="s">
        <v>62</v>
      </c>
      <c r="L9" s="8" t="s">
        <v>32</v>
      </c>
      <c r="M9" s="10">
        <v>1278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f t="shared" si="0"/>
        <v>1278</v>
      </c>
      <c r="T9" s="11">
        <v>3850.25</v>
      </c>
      <c r="U9" s="11">
        <f t="shared" si="1"/>
        <v>4920619.5</v>
      </c>
    </row>
    <row r="10" spans="1:21" x14ac:dyDescent="0.25">
      <c r="A10" s="4" t="s">
        <v>91</v>
      </c>
      <c r="B10" s="5" t="s">
        <v>92</v>
      </c>
      <c r="C10" s="4" t="s">
        <v>93</v>
      </c>
      <c r="D10" s="4" t="s">
        <v>94</v>
      </c>
      <c r="E10" s="5" t="s">
        <v>25</v>
      </c>
      <c r="F10" s="4" t="s">
        <v>95</v>
      </c>
      <c r="G10" s="5" t="s">
        <v>96</v>
      </c>
      <c r="H10" s="5" t="s">
        <v>28</v>
      </c>
      <c r="I10" s="4" t="s">
        <v>29</v>
      </c>
      <c r="J10" s="4" t="s">
        <v>30</v>
      </c>
      <c r="K10" s="5" t="s">
        <v>31</v>
      </c>
      <c r="L10" s="4" t="s">
        <v>41</v>
      </c>
      <c r="M10" s="6">
        <v>0</v>
      </c>
      <c r="N10" s="6">
        <v>0</v>
      </c>
      <c r="O10" s="6">
        <v>1972</v>
      </c>
      <c r="P10" s="6">
        <v>0</v>
      </c>
      <c r="Q10" s="6">
        <v>0</v>
      </c>
      <c r="R10" s="6">
        <v>0</v>
      </c>
      <c r="S10" s="6">
        <f t="shared" si="0"/>
        <v>1972</v>
      </c>
      <c r="T10" s="7">
        <v>1420.1</v>
      </c>
      <c r="U10" s="7">
        <f t="shared" si="1"/>
        <v>2800437.1999999997</v>
      </c>
    </row>
    <row r="11" spans="1:21" x14ac:dyDescent="0.25">
      <c r="A11" s="8" t="s">
        <v>97</v>
      </c>
      <c r="B11" s="9" t="s">
        <v>98</v>
      </c>
      <c r="C11" s="8" t="s">
        <v>99</v>
      </c>
      <c r="D11" s="8" t="s">
        <v>100</v>
      </c>
      <c r="E11" s="9" t="s">
        <v>25</v>
      </c>
      <c r="F11" s="8" t="s">
        <v>101</v>
      </c>
      <c r="G11" s="9" t="s">
        <v>102</v>
      </c>
      <c r="H11" s="9" t="s">
        <v>59</v>
      </c>
      <c r="I11" s="8" t="s">
        <v>60</v>
      </c>
      <c r="J11" s="8" t="s">
        <v>61</v>
      </c>
      <c r="K11" s="9" t="s">
        <v>62</v>
      </c>
      <c r="L11" s="8" t="s">
        <v>32</v>
      </c>
      <c r="M11" s="10">
        <v>0</v>
      </c>
      <c r="N11" s="10">
        <v>0</v>
      </c>
      <c r="O11" s="10">
        <v>1177</v>
      </c>
      <c r="P11" s="10">
        <v>0</v>
      </c>
      <c r="Q11" s="10">
        <v>0</v>
      </c>
      <c r="R11" s="10">
        <v>0</v>
      </c>
      <c r="S11" s="10">
        <f t="shared" si="0"/>
        <v>1177</v>
      </c>
      <c r="T11" s="11">
        <v>3850.25</v>
      </c>
      <c r="U11" s="11">
        <f t="shared" si="1"/>
        <v>4531744.25</v>
      </c>
    </row>
    <row r="12" spans="1:21" x14ac:dyDescent="0.25">
      <c r="A12" s="4" t="s">
        <v>103</v>
      </c>
      <c r="B12" s="5" t="s">
        <v>104</v>
      </c>
      <c r="C12" s="4" t="s">
        <v>105</v>
      </c>
      <c r="D12" s="4" t="s">
        <v>106</v>
      </c>
      <c r="E12" s="5" t="s">
        <v>46</v>
      </c>
      <c r="F12" s="4" t="s">
        <v>107</v>
      </c>
      <c r="G12" s="5" t="s">
        <v>108</v>
      </c>
      <c r="H12" s="5" t="s">
        <v>59</v>
      </c>
      <c r="I12" s="4" t="s">
        <v>60</v>
      </c>
      <c r="J12" s="4" t="s">
        <v>61</v>
      </c>
      <c r="K12" s="5" t="s">
        <v>62</v>
      </c>
      <c r="L12" s="4" t="s">
        <v>41</v>
      </c>
      <c r="M12" s="6">
        <v>0</v>
      </c>
      <c r="N12" s="6">
        <v>0</v>
      </c>
      <c r="O12" s="6">
        <v>314</v>
      </c>
      <c r="P12" s="6">
        <v>0</v>
      </c>
      <c r="Q12" s="6">
        <v>0</v>
      </c>
      <c r="R12" s="6">
        <v>0</v>
      </c>
      <c r="S12" s="6">
        <f t="shared" si="0"/>
        <v>314</v>
      </c>
      <c r="T12" s="7">
        <v>3850.25</v>
      </c>
      <c r="U12" s="7">
        <f t="shared" si="1"/>
        <v>1208978.5</v>
      </c>
    </row>
    <row r="13" spans="1:21" x14ac:dyDescent="0.25">
      <c r="A13" s="8" t="s">
        <v>109</v>
      </c>
      <c r="B13" s="9" t="s">
        <v>110</v>
      </c>
      <c r="C13" s="8" t="s">
        <v>111</v>
      </c>
      <c r="D13" s="8" t="s">
        <v>112</v>
      </c>
      <c r="E13" s="9" t="s">
        <v>46</v>
      </c>
      <c r="F13" s="8" t="s">
        <v>113</v>
      </c>
      <c r="G13" s="9" t="s">
        <v>114</v>
      </c>
      <c r="H13" s="9" t="s">
        <v>28</v>
      </c>
      <c r="I13" s="8" t="s">
        <v>29</v>
      </c>
      <c r="J13" s="8" t="s">
        <v>30</v>
      </c>
      <c r="K13" s="9" t="s">
        <v>31</v>
      </c>
      <c r="L13" s="8" t="s">
        <v>41</v>
      </c>
      <c r="M13" s="10">
        <v>289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f t="shared" si="0"/>
        <v>289</v>
      </c>
      <c r="T13" s="11">
        <v>1420.1</v>
      </c>
      <c r="U13" s="11">
        <f t="shared" si="1"/>
        <v>410408.89999999997</v>
      </c>
    </row>
    <row r="14" spans="1:21" x14ac:dyDescent="0.25">
      <c r="A14" s="4" t="s">
        <v>115</v>
      </c>
      <c r="B14" s="5" t="s">
        <v>116</v>
      </c>
      <c r="C14" s="4" t="s">
        <v>117</v>
      </c>
      <c r="D14" s="4" t="s">
        <v>118</v>
      </c>
      <c r="E14" s="5" t="s">
        <v>119</v>
      </c>
      <c r="F14" s="4" t="s">
        <v>120</v>
      </c>
      <c r="G14" s="5" t="s">
        <v>121</v>
      </c>
      <c r="H14" s="5" t="s">
        <v>49</v>
      </c>
      <c r="I14" s="4" t="s">
        <v>50</v>
      </c>
      <c r="J14" s="4" t="s">
        <v>30</v>
      </c>
      <c r="K14" s="5" t="s">
        <v>31</v>
      </c>
      <c r="L14" s="4" t="s">
        <v>41</v>
      </c>
      <c r="M14" s="6">
        <v>78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f t="shared" si="0"/>
        <v>78</v>
      </c>
      <c r="T14" s="7">
        <v>1420.1</v>
      </c>
      <c r="U14" s="7">
        <f t="shared" si="1"/>
        <v>110767.79999999999</v>
      </c>
    </row>
    <row r="15" spans="1:21" x14ac:dyDescent="0.25">
      <c r="A15" s="8" t="s">
        <v>122</v>
      </c>
      <c r="B15" s="9" t="s">
        <v>123</v>
      </c>
      <c r="C15" s="8" t="s">
        <v>124</v>
      </c>
      <c r="D15" s="8" t="s">
        <v>125</v>
      </c>
      <c r="E15" s="9" t="s">
        <v>25</v>
      </c>
      <c r="F15" s="8" t="s">
        <v>126</v>
      </c>
      <c r="G15" s="9" t="s">
        <v>127</v>
      </c>
      <c r="H15" s="9" t="s">
        <v>28</v>
      </c>
      <c r="I15" s="8" t="s">
        <v>29</v>
      </c>
      <c r="J15" s="8" t="s">
        <v>51</v>
      </c>
      <c r="K15" s="9" t="s">
        <v>52</v>
      </c>
      <c r="L15" s="8" t="s">
        <v>32</v>
      </c>
      <c r="M15" s="10">
        <v>0</v>
      </c>
      <c r="N15" s="10">
        <v>0</v>
      </c>
      <c r="O15" s="10">
        <v>1260</v>
      </c>
      <c r="P15" s="10">
        <v>0</v>
      </c>
      <c r="Q15" s="10">
        <v>0</v>
      </c>
      <c r="R15" s="10">
        <v>0</v>
      </c>
      <c r="S15" s="10">
        <f t="shared" si="0"/>
        <v>1260</v>
      </c>
      <c r="T15" s="11">
        <v>2450.5</v>
      </c>
      <c r="U15" s="11">
        <f t="shared" si="1"/>
        <v>3087630</v>
      </c>
    </row>
    <row r="16" spans="1:21" x14ac:dyDescent="0.25">
      <c r="A16" s="4" t="s">
        <v>128</v>
      </c>
      <c r="B16" s="5" t="s">
        <v>129</v>
      </c>
      <c r="C16" s="4" t="s">
        <v>130</v>
      </c>
      <c r="D16" s="4" t="s">
        <v>131</v>
      </c>
      <c r="E16" s="5" t="s">
        <v>67</v>
      </c>
      <c r="F16" s="4" t="s">
        <v>132</v>
      </c>
      <c r="G16" s="5" t="s">
        <v>133</v>
      </c>
      <c r="H16" s="5" t="s">
        <v>39</v>
      </c>
      <c r="I16" s="4" t="s">
        <v>40</v>
      </c>
      <c r="J16" s="4" t="s">
        <v>61</v>
      </c>
      <c r="K16" s="5" t="s">
        <v>62</v>
      </c>
      <c r="L16" s="4" t="s">
        <v>41</v>
      </c>
      <c r="M16" s="6">
        <v>0</v>
      </c>
      <c r="N16" s="6">
        <v>0</v>
      </c>
      <c r="O16" s="6">
        <v>1750</v>
      </c>
      <c r="P16" s="6">
        <v>0</v>
      </c>
      <c r="Q16" s="6">
        <v>0</v>
      </c>
      <c r="R16" s="6">
        <v>0</v>
      </c>
      <c r="S16" s="6">
        <f t="shared" si="0"/>
        <v>1750</v>
      </c>
      <c r="T16" s="7">
        <v>3850.25</v>
      </c>
      <c r="U16" s="7">
        <f t="shared" si="1"/>
        <v>6737937.5</v>
      </c>
    </row>
    <row r="17" spans="1:21" x14ac:dyDescent="0.25">
      <c r="A17" s="8" t="s">
        <v>134</v>
      </c>
      <c r="B17" s="9" t="s">
        <v>135</v>
      </c>
      <c r="C17" s="8" t="s">
        <v>136</v>
      </c>
      <c r="D17" s="8" t="s">
        <v>137</v>
      </c>
      <c r="E17" s="9" t="s">
        <v>25</v>
      </c>
      <c r="F17" s="8" t="s">
        <v>138</v>
      </c>
      <c r="G17" s="9" t="s">
        <v>139</v>
      </c>
      <c r="H17" s="9" t="s">
        <v>76</v>
      </c>
      <c r="I17" s="8" t="s">
        <v>77</v>
      </c>
      <c r="J17" s="8" t="s">
        <v>30</v>
      </c>
      <c r="K17" s="9" t="s">
        <v>31</v>
      </c>
      <c r="L17" s="8" t="s">
        <v>41</v>
      </c>
      <c r="M17" s="10">
        <v>1025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f t="shared" si="0"/>
        <v>1025</v>
      </c>
      <c r="T17" s="11">
        <v>1420.1</v>
      </c>
      <c r="U17" s="11">
        <f t="shared" si="1"/>
        <v>1455602.5</v>
      </c>
    </row>
    <row r="18" spans="1:21" x14ac:dyDescent="0.25">
      <c r="A18" s="4" t="s">
        <v>140</v>
      </c>
      <c r="B18" s="5" t="s">
        <v>141</v>
      </c>
      <c r="C18" s="4" t="s">
        <v>142</v>
      </c>
      <c r="D18" s="4" t="s">
        <v>143</v>
      </c>
      <c r="E18" s="5" t="s">
        <v>82</v>
      </c>
      <c r="F18" s="4" t="s">
        <v>144</v>
      </c>
      <c r="G18" s="5" t="s">
        <v>145</v>
      </c>
      <c r="H18" s="5" t="s">
        <v>49</v>
      </c>
      <c r="I18" s="4" t="s">
        <v>50</v>
      </c>
      <c r="J18" s="4" t="s">
        <v>61</v>
      </c>
      <c r="K18" s="5" t="s">
        <v>62</v>
      </c>
      <c r="L18" s="4" t="s">
        <v>32</v>
      </c>
      <c r="M18" s="6">
        <v>0</v>
      </c>
      <c r="N18" s="6">
        <v>0</v>
      </c>
      <c r="O18" s="6">
        <v>626</v>
      </c>
      <c r="P18" s="6">
        <v>0</v>
      </c>
      <c r="Q18" s="6">
        <v>0</v>
      </c>
      <c r="R18" s="6">
        <v>0</v>
      </c>
      <c r="S18" s="6">
        <f t="shared" si="0"/>
        <v>626</v>
      </c>
      <c r="T18" s="7">
        <v>3850.25</v>
      </c>
      <c r="U18" s="7">
        <f t="shared" si="1"/>
        <v>2410256.5</v>
      </c>
    </row>
    <row r="19" spans="1:21" x14ac:dyDescent="0.25">
      <c r="A19" s="8" t="s">
        <v>146</v>
      </c>
      <c r="B19" s="9" t="s">
        <v>147</v>
      </c>
      <c r="C19" s="8" t="s">
        <v>148</v>
      </c>
      <c r="D19" s="8" t="s">
        <v>149</v>
      </c>
      <c r="E19" s="9" t="s">
        <v>46</v>
      </c>
      <c r="F19" s="8" t="s">
        <v>150</v>
      </c>
      <c r="G19" s="9" t="s">
        <v>151</v>
      </c>
      <c r="H19" s="9" t="s">
        <v>76</v>
      </c>
      <c r="I19" s="8" t="s">
        <v>77</v>
      </c>
      <c r="J19" s="8" t="s">
        <v>51</v>
      </c>
      <c r="K19" s="9" t="s">
        <v>52</v>
      </c>
      <c r="L19" s="8" t="s">
        <v>41</v>
      </c>
      <c r="M19" s="10">
        <v>1655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f t="shared" si="0"/>
        <v>1655</v>
      </c>
      <c r="T19" s="11">
        <v>2450.5</v>
      </c>
      <c r="U19" s="11">
        <f t="shared" si="1"/>
        <v>4055577.5</v>
      </c>
    </row>
    <row r="20" spans="1:21" x14ac:dyDescent="0.25">
      <c r="A20" s="4" t="s">
        <v>152</v>
      </c>
      <c r="B20" s="5" t="s">
        <v>153</v>
      </c>
      <c r="C20" s="4" t="s">
        <v>154</v>
      </c>
      <c r="D20" s="4" t="s">
        <v>155</v>
      </c>
      <c r="E20" s="5" t="s">
        <v>119</v>
      </c>
      <c r="F20" s="4" t="s">
        <v>156</v>
      </c>
      <c r="G20" s="5" t="s">
        <v>38</v>
      </c>
      <c r="H20" s="5" t="s">
        <v>59</v>
      </c>
      <c r="I20" s="4" t="s">
        <v>60</v>
      </c>
      <c r="J20" s="4" t="s">
        <v>157</v>
      </c>
      <c r="K20" s="5" t="s">
        <v>158</v>
      </c>
      <c r="L20" s="4" t="s">
        <v>32</v>
      </c>
      <c r="M20" s="6">
        <v>1411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f t="shared" si="0"/>
        <v>1411</v>
      </c>
      <c r="T20" s="7">
        <v>760.4</v>
      </c>
      <c r="U20" s="7">
        <f t="shared" si="1"/>
        <v>1072924.3999999999</v>
      </c>
    </row>
    <row r="21" spans="1:21" x14ac:dyDescent="0.25">
      <c r="A21" s="8" t="s">
        <v>159</v>
      </c>
      <c r="B21" s="9" t="s">
        <v>160</v>
      </c>
      <c r="C21" s="8" t="s">
        <v>161</v>
      </c>
      <c r="D21" s="8" t="s">
        <v>162</v>
      </c>
      <c r="E21" s="9" t="s">
        <v>67</v>
      </c>
      <c r="F21" s="8" t="s">
        <v>163</v>
      </c>
      <c r="G21" s="9" t="s">
        <v>164</v>
      </c>
      <c r="H21" s="9" t="s">
        <v>39</v>
      </c>
      <c r="I21" s="8" t="s">
        <v>40</v>
      </c>
      <c r="J21" s="8" t="s">
        <v>165</v>
      </c>
      <c r="K21" s="9" t="s">
        <v>166</v>
      </c>
      <c r="L21" s="8" t="s">
        <v>41</v>
      </c>
      <c r="M21" s="10">
        <v>0</v>
      </c>
      <c r="N21" s="10">
        <v>0</v>
      </c>
      <c r="O21" s="10">
        <v>1468</v>
      </c>
      <c r="P21" s="10">
        <v>0</v>
      </c>
      <c r="Q21" s="10">
        <v>0</v>
      </c>
      <c r="R21" s="10">
        <v>0</v>
      </c>
      <c r="S21" s="10">
        <f t="shared" si="0"/>
        <v>1468</v>
      </c>
      <c r="T21" s="11">
        <v>3550.8</v>
      </c>
      <c r="U21" s="11">
        <f t="shared" si="1"/>
        <v>5212574.4000000004</v>
      </c>
    </row>
    <row r="22" spans="1:21" x14ac:dyDescent="0.25">
      <c r="A22" s="4" t="s">
        <v>167</v>
      </c>
      <c r="B22" s="5" t="s">
        <v>22</v>
      </c>
      <c r="C22" s="4" t="s">
        <v>168</v>
      </c>
      <c r="D22" s="4" t="s">
        <v>169</v>
      </c>
      <c r="E22" s="5" t="s">
        <v>46</v>
      </c>
      <c r="F22" s="4" t="s">
        <v>170</v>
      </c>
      <c r="G22" s="5" t="s">
        <v>171</v>
      </c>
      <c r="H22" s="5" t="s">
        <v>28</v>
      </c>
      <c r="I22" s="4" t="s">
        <v>29</v>
      </c>
      <c r="J22" s="4" t="s">
        <v>157</v>
      </c>
      <c r="K22" s="5" t="s">
        <v>158</v>
      </c>
      <c r="L22" s="4" t="s">
        <v>32</v>
      </c>
      <c r="M22" s="6">
        <v>0</v>
      </c>
      <c r="N22" s="6">
        <v>0</v>
      </c>
      <c r="O22" s="6">
        <v>567</v>
      </c>
      <c r="P22" s="6">
        <v>0</v>
      </c>
      <c r="Q22" s="6">
        <v>0</v>
      </c>
      <c r="R22" s="6">
        <v>0</v>
      </c>
      <c r="S22" s="6">
        <f t="shared" si="0"/>
        <v>567</v>
      </c>
      <c r="T22" s="7">
        <v>760.4</v>
      </c>
      <c r="U22" s="7">
        <f t="shared" si="1"/>
        <v>431146.8</v>
      </c>
    </row>
    <row r="23" spans="1:21" x14ac:dyDescent="0.25">
      <c r="A23" s="8" t="s">
        <v>172</v>
      </c>
      <c r="B23" s="9" t="s">
        <v>34</v>
      </c>
      <c r="C23" s="8" t="s">
        <v>173</v>
      </c>
      <c r="D23" s="8" t="s">
        <v>174</v>
      </c>
      <c r="E23" s="9" t="s">
        <v>67</v>
      </c>
      <c r="F23" s="8" t="s">
        <v>175</v>
      </c>
      <c r="G23" s="9" t="s">
        <v>176</v>
      </c>
      <c r="H23" s="9" t="s">
        <v>28</v>
      </c>
      <c r="I23" s="8" t="s">
        <v>29</v>
      </c>
      <c r="J23" s="8" t="s">
        <v>61</v>
      </c>
      <c r="K23" s="9" t="s">
        <v>62</v>
      </c>
      <c r="L23" s="8" t="s">
        <v>32</v>
      </c>
      <c r="M23" s="10">
        <v>448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f t="shared" si="0"/>
        <v>448</v>
      </c>
      <c r="T23" s="11">
        <v>3850.25</v>
      </c>
      <c r="U23" s="11">
        <f t="shared" si="1"/>
        <v>1724912</v>
      </c>
    </row>
    <row r="24" spans="1:21" x14ac:dyDescent="0.25">
      <c r="A24" s="4" t="s">
        <v>177</v>
      </c>
      <c r="B24" s="5" t="s">
        <v>43</v>
      </c>
      <c r="C24" s="4" t="s">
        <v>178</v>
      </c>
      <c r="D24" s="4" t="s">
        <v>179</v>
      </c>
      <c r="E24" s="5" t="s">
        <v>25</v>
      </c>
      <c r="F24" s="4" t="s">
        <v>180</v>
      </c>
      <c r="G24" s="5" t="s">
        <v>181</v>
      </c>
      <c r="H24" s="5" t="s">
        <v>59</v>
      </c>
      <c r="I24" s="4" t="s">
        <v>60</v>
      </c>
      <c r="J24" s="4" t="s">
        <v>157</v>
      </c>
      <c r="K24" s="5" t="s">
        <v>158</v>
      </c>
      <c r="L24" s="4" t="s">
        <v>41</v>
      </c>
      <c r="M24" s="6">
        <v>0</v>
      </c>
      <c r="N24" s="6">
        <v>0</v>
      </c>
      <c r="O24" s="6">
        <v>610</v>
      </c>
      <c r="P24" s="6">
        <v>0</v>
      </c>
      <c r="Q24" s="6">
        <v>0</v>
      </c>
      <c r="R24" s="6">
        <v>0</v>
      </c>
      <c r="S24" s="6">
        <f t="shared" si="0"/>
        <v>610</v>
      </c>
      <c r="T24" s="7">
        <v>760.4</v>
      </c>
      <c r="U24" s="7">
        <f t="shared" si="1"/>
        <v>463844</v>
      </c>
    </row>
    <row r="25" spans="1:21" x14ac:dyDescent="0.25">
      <c r="A25" s="8" t="s">
        <v>182</v>
      </c>
      <c r="B25" s="9" t="s">
        <v>54</v>
      </c>
      <c r="C25" s="8" t="s">
        <v>183</v>
      </c>
      <c r="D25" s="8" t="s">
        <v>184</v>
      </c>
      <c r="E25" s="9" t="s">
        <v>46</v>
      </c>
      <c r="F25" s="8" t="s">
        <v>185</v>
      </c>
      <c r="G25" s="9" t="s">
        <v>186</v>
      </c>
      <c r="H25" s="9" t="s">
        <v>76</v>
      </c>
      <c r="I25" s="8" t="s">
        <v>77</v>
      </c>
      <c r="J25" s="8" t="s">
        <v>165</v>
      </c>
      <c r="K25" s="9" t="s">
        <v>166</v>
      </c>
      <c r="L25" s="8" t="s">
        <v>41</v>
      </c>
      <c r="M25" s="10">
        <v>0</v>
      </c>
      <c r="N25" s="10">
        <v>0</v>
      </c>
      <c r="O25" s="10">
        <v>431</v>
      </c>
      <c r="P25" s="10">
        <v>0</v>
      </c>
      <c r="Q25" s="10">
        <v>0</v>
      </c>
      <c r="R25" s="10">
        <v>0</v>
      </c>
      <c r="S25" s="10">
        <f t="shared" si="0"/>
        <v>431</v>
      </c>
      <c r="T25" s="11">
        <v>3550.8</v>
      </c>
      <c r="U25" s="11">
        <f t="shared" si="1"/>
        <v>1530394.8</v>
      </c>
    </row>
    <row r="26" spans="1:21" x14ac:dyDescent="0.25">
      <c r="A26" s="4" t="s">
        <v>187</v>
      </c>
      <c r="B26" s="5" t="s">
        <v>64</v>
      </c>
      <c r="C26" s="4" t="s">
        <v>188</v>
      </c>
      <c r="D26" s="4" t="s">
        <v>189</v>
      </c>
      <c r="E26" s="5" t="s">
        <v>25</v>
      </c>
      <c r="F26" s="4" t="s">
        <v>190</v>
      </c>
      <c r="G26" s="5" t="s">
        <v>191</v>
      </c>
      <c r="H26" s="5" t="s">
        <v>76</v>
      </c>
      <c r="I26" s="4" t="s">
        <v>77</v>
      </c>
      <c r="J26" s="4" t="s">
        <v>30</v>
      </c>
      <c r="K26" s="5" t="s">
        <v>31</v>
      </c>
      <c r="L26" s="4" t="s">
        <v>32</v>
      </c>
      <c r="M26" s="6">
        <v>0</v>
      </c>
      <c r="N26" s="6">
        <v>0</v>
      </c>
      <c r="O26" s="6">
        <v>1346</v>
      </c>
      <c r="P26" s="6">
        <v>0</v>
      </c>
      <c r="Q26" s="6">
        <v>0</v>
      </c>
      <c r="R26" s="6">
        <v>0</v>
      </c>
      <c r="S26" s="6">
        <f t="shared" si="0"/>
        <v>1346</v>
      </c>
      <c r="T26" s="7">
        <v>1420.1</v>
      </c>
      <c r="U26" s="7">
        <f t="shared" si="1"/>
        <v>1911454.5999999999</v>
      </c>
    </row>
    <row r="27" spans="1:21" x14ac:dyDescent="0.25">
      <c r="A27" s="8" t="s">
        <v>192</v>
      </c>
      <c r="B27" s="9" t="s">
        <v>71</v>
      </c>
      <c r="C27" s="8" t="s">
        <v>193</v>
      </c>
      <c r="D27" s="8" t="s">
        <v>194</v>
      </c>
      <c r="E27" s="9" t="s">
        <v>46</v>
      </c>
      <c r="F27" s="8" t="s">
        <v>195</v>
      </c>
      <c r="G27" s="9" t="s">
        <v>196</v>
      </c>
      <c r="H27" s="9" t="s">
        <v>39</v>
      </c>
      <c r="I27" s="8" t="s">
        <v>40</v>
      </c>
      <c r="J27" s="8" t="s">
        <v>157</v>
      </c>
      <c r="K27" s="9" t="s">
        <v>158</v>
      </c>
      <c r="L27" s="8" t="s">
        <v>32</v>
      </c>
      <c r="M27" s="10">
        <v>0</v>
      </c>
      <c r="N27" s="10">
        <v>0</v>
      </c>
      <c r="O27" s="10">
        <v>816</v>
      </c>
      <c r="P27" s="10">
        <v>0</v>
      </c>
      <c r="Q27" s="10">
        <v>0</v>
      </c>
      <c r="R27" s="10">
        <v>0</v>
      </c>
      <c r="S27" s="10">
        <f t="shared" si="0"/>
        <v>816</v>
      </c>
      <c r="T27" s="11">
        <v>760.4</v>
      </c>
      <c r="U27" s="11">
        <f t="shared" si="1"/>
        <v>620486.40000000002</v>
      </c>
    </row>
    <row r="28" spans="1:21" x14ac:dyDescent="0.25">
      <c r="A28" s="4" t="s">
        <v>197</v>
      </c>
      <c r="B28" s="5" t="s">
        <v>79</v>
      </c>
      <c r="C28" s="4" t="s">
        <v>198</v>
      </c>
      <c r="D28" s="4" t="s">
        <v>199</v>
      </c>
      <c r="E28" s="5" t="s">
        <v>25</v>
      </c>
      <c r="F28" s="4" t="s">
        <v>200</v>
      </c>
      <c r="G28" s="5" t="s">
        <v>201</v>
      </c>
      <c r="H28" s="5" t="s">
        <v>76</v>
      </c>
      <c r="I28" s="4" t="s">
        <v>77</v>
      </c>
      <c r="J28" s="4" t="s">
        <v>61</v>
      </c>
      <c r="K28" s="5" t="s">
        <v>62</v>
      </c>
      <c r="L28" s="4" t="s">
        <v>41</v>
      </c>
      <c r="M28" s="6">
        <v>554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f t="shared" si="0"/>
        <v>554</v>
      </c>
      <c r="T28" s="7">
        <v>3850.25</v>
      </c>
      <c r="U28" s="7">
        <f t="shared" si="1"/>
        <v>2133038.5</v>
      </c>
    </row>
    <row r="29" spans="1:21" x14ac:dyDescent="0.25">
      <c r="A29" s="8" t="s">
        <v>202</v>
      </c>
      <c r="B29" s="9" t="s">
        <v>86</v>
      </c>
      <c r="C29" s="8" t="s">
        <v>203</v>
      </c>
      <c r="D29" s="8" t="s">
        <v>204</v>
      </c>
      <c r="E29" s="9" t="s">
        <v>46</v>
      </c>
      <c r="F29" s="8" t="s">
        <v>205</v>
      </c>
      <c r="G29" s="9" t="s">
        <v>206</v>
      </c>
      <c r="H29" s="9" t="s">
        <v>28</v>
      </c>
      <c r="I29" s="8" t="s">
        <v>29</v>
      </c>
      <c r="J29" s="8" t="s">
        <v>157</v>
      </c>
      <c r="K29" s="9" t="s">
        <v>158</v>
      </c>
      <c r="L29" s="8" t="s">
        <v>41</v>
      </c>
      <c r="M29" s="10">
        <v>1826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f t="shared" si="0"/>
        <v>1826</v>
      </c>
      <c r="T29" s="11">
        <v>760.4</v>
      </c>
      <c r="U29" s="11">
        <f t="shared" si="1"/>
        <v>1388490.4</v>
      </c>
    </row>
    <row r="30" spans="1:21" x14ac:dyDescent="0.25">
      <c r="A30" s="4" t="s">
        <v>207</v>
      </c>
      <c r="B30" s="5" t="s">
        <v>92</v>
      </c>
      <c r="C30" s="4" t="s">
        <v>208</v>
      </c>
      <c r="D30" s="4" t="s">
        <v>209</v>
      </c>
      <c r="E30" s="5" t="s">
        <v>25</v>
      </c>
      <c r="F30" s="4" t="s">
        <v>210</v>
      </c>
      <c r="G30" s="5" t="s">
        <v>211</v>
      </c>
      <c r="H30" s="5" t="s">
        <v>76</v>
      </c>
      <c r="I30" s="4" t="s">
        <v>77</v>
      </c>
      <c r="J30" s="4" t="s">
        <v>30</v>
      </c>
      <c r="K30" s="5" t="s">
        <v>31</v>
      </c>
      <c r="L30" s="4" t="s">
        <v>41</v>
      </c>
      <c r="M30" s="6">
        <v>0</v>
      </c>
      <c r="N30" s="6">
        <v>0</v>
      </c>
      <c r="O30" s="6">
        <v>479</v>
      </c>
      <c r="P30" s="6">
        <v>0</v>
      </c>
      <c r="Q30" s="6">
        <v>0</v>
      </c>
      <c r="R30" s="6">
        <v>0</v>
      </c>
      <c r="S30" s="6">
        <f t="shared" si="0"/>
        <v>479</v>
      </c>
      <c r="T30" s="7">
        <v>1420.1</v>
      </c>
      <c r="U30" s="7">
        <f t="shared" si="1"/>
        <v>680227.89999999991</v>
      </c>
    </row>
    <row r="31" spans="1:21" x14ac:dyDescent="0.25">
      <c r="A31" s="8" t="s">
        <v>212</v>
      </c>
      <c r="B31" s="9" t="s">
        <v>98</v>
      </c>
      <c r="C31" s="8" t="s">
        <v>213</v>
      </c>
      <c r="D31" s="8" t="s">
        <v>214</v>
      </c>
      <c r="E31" s="9" t="s">
        <v>119</v>
      </c>
      <c r="F31" s="8" t="s">
        <v>215</v>
      </c>
      <c r="G31" s="9" t="s">
        <v>216</v>
      </c>
      <c r="H31" s="9" t="s">
        <v>39</v>
      </c>
      <c r="I31" s="8" t="s">
        <v>40</v>
      </c>
      <c r="J31" s="8" t="s">
        <v>51</v>
      </c>
      <c r="K31" s="9" t="s">
        <v>52</v>
      </c>
      <c r="L31" s="8" t="s">
        <v>32</v>
      </c>
      <c r="M31" s="10">
        <v>0</v>
      </c>
      <c r="N31" s="10">
        <v>0</v>
      </c>
      <c r="O31" s="10">
        <v>799</v>
      </c>
      <c r="P31" s="10">
        <v>0</v>
      </c>
      <c r="Q31" s="10">
        <v>0</v>
      </c>
      <c r="R31" s="10">
        <v>0</v>
      </c>
      <c r="S31" s="10">
        <f t="shared" si="0"/>
        <v>799</v>
      </c>
      <c r="T31" s="11">
        <v>2450.5</v>
      </c>
      <c r="U31" s="11">
        <f t="shared" si="1"/>
        <v>1957949.5</v>
      </c>
    </row>
    <row r="32" spans="1:21" x14ac:dyDescent="0.25">
      <c r="A32" s="4" t="s">
        <v>217</v>
      </c>
      <c r="B32" s="5" t="s">
        <v>104</v>
      </c>
      <c r="C32" s="4" t="s">
        <v>218</v>
      </c>
      <c r="D32" s="4" t="s">
        <v>219</v>
      </c>
      <c r="E32" s="5" t="s">
        <v>46</v>
      </c>
      <c r="F32" s="4" t="s">
        <v>220</v>
      </c>
      <c r="G32" s="5" t="s">
        <v>221</v>
      </c>
      <c r="H32" s="5" t="s">
        <v>49</v>
      </c>
      <c r="I32" s="4" t="s">
        <v>50</v>
      </c>
      <c r="J32" s="4" t="s">
        <v>165</v>
      </c>
      <c r="K32" s="5" t="s">
        <v>166</v>
      </c>
      <c r="L32" s="4" t="s">
        <v>41</v>
      </c>
      <c r="M32" s="6">
        <v>0</v>
      </c>
      <c r="N32" s="6">
        <v>0</v>
      </c>
      <c r="O32" s="6">
        <v>1661</v>
      </c>
      <c r="P32" s="6">
        <v>0</v>
      </c>
      <c r="Q32" s="6">
        <v>0</v>
      </c>
      <c r="R32" s="6">
        <v>0</v>
      </c>
      <c r="S32" s="6">
        <f t="shared" si="0"/>
        <v>1661</v>
      </c>
      <c r="T32" s="7">
        <v>3550.8</v>
      </c>
      <c r="U32" s="7">
        <f t="shared" si="1"/>
        <v>5897878.8000000007</v>
      </c>
    </row>
    <row r="33" spans="1:21" x14ac:dyDescent="0.25">
      <c r="A33" s="8" t="s">
        <v>222</v>
      </c>
      <c r="B33" s="9" t="s">
        <v>110</v>
      </c>
      <c r="C33" s="8" t="s">
        <v>223</v>
      </c>
      <c r="D33" s="8" t="s">
        <v>224</v>
      </c>
      <c r="E33" s="9" t="s">
        <v>67</v>
      </c>
      <c r="F33" s="8" t="s">
        <v>225</v>
      </c>
      <c r="G33" s="9" t="s">
        <v>226</v>
      </c>
      <c r="H33" s="9" t="s">
        <v>76</v>
      </c>
      <c r="I33" s="8" t="s">
        <v>77</v>
      </c>
      <c r="J33" s="8" t="s">
        <v>165</v>
      </c>
      <c r="K33" s="9" t="s">
        <v>166</v>
      </c>
      <c r="L33" s="8" t="s">
        <v>32</v>
      </c>
      <c r="M33" s="10">
        <v>909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f t="shared" si="0"/>
        <v>909</v>
      </c>
      <c r="T33" s="11">
        <v>3550.8</v>
      </c>
      <c r="U33" s="11">
        <f t="shared" si="1"/>
        <v>3227677.2</v>
      </c>
    </row>
    <row r="34" spans="1:21" x14ac:dyDescent="0.25">
      <c r="A34" s="4" t="s">
        <v>227</v>
      </c>
      <c r="B34" s="5" t="s">
        <v>116</v>
      </c>
      <c r="C34" s="4" t="s">
        <v>228</v>
      </c>
      <c r="D34" s="4" t="s">
        <v>229</v>
      </c>
      <c r="E34" s="5" t="s">
        <v>67</v>
      </c>
      <c r="F34" s="4" t="s">
        <v>230</v>
      </c>
      <c r="G34" s="5" t="s">
        <v>231</v>
      </c>
      <c r="H34" s="5" t="s">
        <v>28</v>
      </c>
      <c r="I34" s="4" t="s">
        <v>29</v>
      </c>
      <c r="J34" s="4" t="s">
        <v>30</v>
      </c>
      <c r="K34" s="5" t="s">
        <v>31</v>
      </c>
      <c r="L34" s="4" t="s">
        <v>32</v>
      </c>
      <c r="M34" s="6">
        <v>1737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f t="shared" ref="S34:S48" si="2">SUM(M34:R34)</f>
        <v>1737</v>
      </c>
      <c r="T34" s="7">
        <v>1420.1</v>
      </c>
      <c r="U34" s="7">
        <f t="shared" ref="U34:U48" si="3">S34*T34</f>
        <v>2466713.6999999997</v>
      </c>
    </row>
    <row r="35" spans="1:21" x14ac:dyDescent="0.25">
      <c r="A35" s="8" t="s">
        <v>232</v>
      </c>
      <c r="B35" s="9" t="s">
        <v>123</v>
      </c>
      <c r="C35" s="8" t="s">
        <v>233</v>
      </c>
      <c r="D35" s="8" t="s">
        <v>234</v>
      </c>
      <c r="E35" s="9" t="s">
        <v>67</v>
      </c>
      <c r="F35" s="8" t="s">
        <v>235</v>
      </c>
      <c r="G35" s="9" t="s">
        <v>236</v>
      </c>
      <c r="H35" s="9" t="s">
        <v>28</v>
      </c>
      <c r="I35" s="8" t="s">
        <v>29</v>
      </c>
      <c r="J35" s="8" t="s">
        <v>157</v>
      </c>
      <c r="K35" s="9" t="s">
        <v>158</v>
      </c>
      <c r="L35" s="8" t="s">
        <v>41</v>
      </c>
      <c r="M35" s="10">
        <v>0</v>
      </c>
      <c r="N35" s="10">
        <v>0</v>
      </c>
      <c r="O35" s="10">
        <v>1681</v>
      </c>
      <c r="P35" s="10">
        <v>0</v>
      </c>
      <c r="Q35" s="10">
        <v>0</v>
      </c>
      <c r="R35" s="10">
        <v>0</v>
      </c>
      <c r="S35" s="10">
        <f t="shared" si="2"/>
        <v>1681</v>
      </c>
      <c r="T35" s="11">
        <v>760.4</v>
      </c>
      <c r="U35" s="11">
        <f t="shared" si="3"/>
        <v>1278232.3999999999</v>
      </c>
    </row>
    <row r="36" spans="1:21" x14ac:dyDescent="0.25">
      <c r="A36" s="4" t="s">
        <v>237</v>
      </c>
      <c r="B36" s="5" t="s">
        <v>129</v>
      </c>
      <c r="C36" s="4" t="s">
        <v>238</v>
      </c>
      <c r="D36" s="4" t="s">
        <v>239</v>
      </c>
      <c r="E36" s="5" t="s">
        <v>67</v>
      </c>
      <c r="F36" s="4" t="s">
        <v>240</v>
      </c>
      <c r="G36" s="5" t="s">
        <v>241</v>
      </c>
      <c r="H36" s="5" t="s">
        <v>49</v>
      </c>
      <c r="I36" s="4" t="s">
        <v>50</v>
      </c>
      <c r="J36" s="4" t="s">
        <v>30</v>
      </c>
      <c r="K36" s="5" t="s">
        <v>31</v>
      </c>
      <c r="L36" s="4" t="s">
        <v>32</v>
      </c>
      <c r="M36" s="6">
        <v>0</v>
      </c>
      <c r="N36" s="6">
        <v>0</v>
      </c>
      <c r="O36" s="6">
        <v>1291</v>
      </c>
      <c r="P36" s="6">
        <v>0</v>
      </c>
      <c r="Q36" s="6">
        <v>0</v>
      </c>
      <c r="R36" s="6">
        <v>0</v>
      </c>
      <c r="S36" s="6">
        <f t="shared" si="2"/>
        <v>1291</v>
      </c>
      <c r="T36" s="7">
        <v>1420.1</v>
      </c>
      <c r="U36" s="7">
        <f t="shared" si="3"/>
        <v>1833349.0999999999</v>
      </c>
    </row>
    <row r="37" spans="1:21" x14ac:dyDescent="0.25">
      <c r="A37" s="8" t="s">
        <v>242</v>
      </c>
      <c r="B37" s="9" t="s">
        <v>135</v>
      </c>
      <c r="C37" s="8" t="s">
        <v>243</v>
      </c>
      <c r="D37" s="8" t="s">
        <v>244</v>
      </c>
      <c r="E37" s="9" t="s">
        <v>46</v>
      </c>
      <c r="F37" s="8" t="s">
        <v>245</v>
      </c>
      <c r="G37" s="9" t="s">
        <v>246</v>
      </c>
      <c r="H37" s="9" t="s">
        <v>28</v>
      </c>
      <c r="I37" s="8" t="s">
        <v>29</v>
      </c>
      <c r="J37" s="8" t="s">
        <v>61</v>
      </c>
      <c r="K37" s="9" t="s">
        <v>62</v>
      </c>
      <c r="L37" s="8" t="s">
        <v>41</v>
      </c>
      <c r="M37" s="10">
        <v>0</v>
      </c>
      <c r="N37" s="10">
        <v>0</v>
      </c>
      <c r="O37" s="10">
        <v>594</v>
      </c>
      <c r="P37" s="10">
        <v>0</v>
      </c>
      <c r="Q37" s="10">
        <v>0</v>
      </c>
      <c r="R37" s="10">
        <v>0</v>
      </c>
      <c r="S37" s="10">
        <f t="shared" si="2"/>
        <v>594</v>
      </c>
      <c r="T37" s="11">
        <v>3850.25</v>
      </c>
      <c r="U37" s="11">
        <f t="shared" si="3"/>
        <v>2287048.5</v>
      </c>
    </row>
    <row r="38" spans="1:21" x14ac:dyDescent="0.25">
      <c r="A38" s="4" t="s">
        <v>247</v>
      </c>
      <c r="B38" s="5" t="s">
        <v>141</v>
      </c>
      <c r="C38" s="4" t="s">
        <v>248</v>
      </c>
      <c r="D38" s="4" t="s">
        <v>249</v>
      </c>
      <c r="E38" s="5" t="s">
        <v>25</v>
      </c>
      <c r="F38" s="4" t="s">
        <v>250</v>
      </c>
      <c r="G38" s="5" t="s">
        <v>251</v>
      </c>
      <c r="H38" s="5" t="s">
        <v>76</v>
      </c>
      <c r="I38" s="4" t="s">
        <v>77</v>
      </c>
      <c r="J38" s="4" t="s">
        <v>165</v>
      </c>
      <c r="K38" s="5" t="s">
        <v>166</v>
      </c>
      <c r="L38" s="4" t="s">
        <v>32</v>
      </c>
      <c r="M38" s="6">
        <v>983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f t="shared" si="2"/>
        <v>983</v>
      </c>
      <c r="T38" s="7">
        <v>3550.8</v>
      </c>
      <c r="U38" s="7">
        <f t="shared" si="3"/>
        <v>3490436.4000000004</v>
      </c>
    </row>
    <row r="39" spans="1:21" x14ac:dyDescent="0.25">
      <c r="A39" s="8" t="s">
        <v>252</v>
      </c>
      <c r="B39" s="9" t="s">
        <v>147</v>
      </c>
      <c r="C39" s="8" t="s">
        <v>253</v>
      </c>
      <c r="D39" s="8" t="s">
        <v>254</v>
      </c>
      <c r="E39" s="9" t="s">
        <v>25</v>
      </c>
      <c r="F39" s="8" t="s">
        <v>255</v>
      </c>
      <c r="G39" s="9" t="s">
        <v>256</v>
      </c>
      <c r="H39" s="9" t="s">
        <v>49</v>
      </c>
      <c r="I39" s="8" t="s">
        <v>50</v>
      </c>
      <c r="J39" s="8" t="s">
        <v>61</v>
      </c>
      <c r="K39" s="9" t="s">
        <v>62</v>
      </c>
      <c r="L39" s="8" t="s">
        <v>32</v>
      </c>
      <c r="M39" s="10">
        <v>0</v>
      </c>
      <c r="N39" s="10">
        <v>0</v>
      </c>
      <c r="O39" s="10">
        <v>1829</v>
      </c>
      <c r="P39" s="10">
        <v>0</v>
      </c>
      <c r="Q39" s="10">
        <v>0</v>
      </c>
      <c r="R39" s="10">
        <v>0</v>
      </c>
      <c r="S39" s="10">
        <f t="shared" si="2"/>
        <v>1829</v>
      </c>
      <c r="T39" s="11">
        <v>3850.25</v>
      </c>
      <c r="U39" s="11">
        <f t="shared" si="3"/>
        <v>7042107.25</v>
      </c>
    </row>
    <row r="40" spans="1:21" x14ac:dyDescent="0.25">
      <c r="A40" s="4" t="s">
        <v>257</v>
      </c>
      <c r="B40" s="5" t="s">
        <v>153</v>
      </c>
      <c r="C40" s="4" t="s">
        <v>258</v>
      </c>
      <c r="D40" s="4" t="s">
        <v>259</v>
      </c>
      <c r="E40" s="5" t="s">
        <v>119</v>
      </c>
      <c r="F40" s="4" t="s">
        <v>260</v>
      </c>
      <c r="G40" s="5" t="s">
        <v>261</v>
      </c>
      <c r="H40" s="5" t="s">
        <v>39</v>
      </c>
      <c r="I40" s="4" t="s">
        <v>40</v>
      </c>
      <c r="J40" s="4" t="s">
        <v>51</v>
      </c>
      <c r="K40" s="5" t="s">
        <v>52</v>
      </c>
      <c r="L40" s="4" t="s">
        <v>41</v>
      </c>
      <c r="M40" s="6">
        <v>0</v>
      </c>
      <c r="N40" s="6">
        <v>0</v>
      </c>
      <c r="O40" s="6">
        <v>567</v>
      </c>
      <c r="P40" s="6">
        <v>0</v>
      </c>
      <c r="Q40" s="6">
        <v>0</v>
      </c>
      <c r="R40" s="6">
        <v>0</v>
      </c>
      <c r="S40" s="6">
        <f t="shared" si="2"/>
        <v>567</v>
      </c>
      <c r="T40" s="7">
        <v>2450.5</v>
      </c>
      <c r="U40" s="7">
        <f t="shared" si="3"/>
        <v>1389433.5</v>
      </c>
    </row>
    <row r="41" spans="1:21" x14ac:dyDescent="0.25">
      <c r="A41" s="8" t="s">
        <v>262</v>
      </c>
      <c r="B41" s="9" t="s">
        <v>160</v>
      </c>
      <c r="C41" s="8" t="s">
        <v>263</v>
      </c>
      <c r="D41" s="8" t="s">
        <v>264</v>
      </c>
      <c r="E41" s="9" t="s">
        <v>82</v>
      </c>
      <c r="F41" s="8" t="s">
        <v>265</v>
      </c>
      <c r="G41" s="9" t="s">
        <v>266</v>
      </c>
      <c r="H41" s="9" t="s">
        <v>49</v>
      </c>
      <c r="I41" s="8" t="s">
        <v>50</v>
      </c>
      <c r="J41" s="8" t="s">
        <v>157</v>
      </c>
      <c r="K41" s="9" t="s">
        <v>158</v>
      </c>
      <c r="L41" s="8" t="s">
        <v>32</v>
      </c>
      <c r="M41" s="10">
        <v>1020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f t="shared" si="2"/>
        <v>1020</v>
      </c>
      <c r="T41" s="11">
        <v>760.4</v>
      </c>
      <c r="U41" s="11">
        <f t="shared" si="3"/>
        <v>775608</v>
      </c>
    </row>
    <row r="42" spans="1:21" x14ac:dyDescent="0.25">
      <c r="A42" s="4" t="s">
        <v>267</v>
      </c>
      <c r="B42" s="5" t="s">
        <v>22</v>
      </c>
      <c r="C42" s="4" t="s">
        <v>268</v>
      </c>
      <c r="D42" s="4" t="s">
        <v>269</v>
      </c>
      <c r="E42" s="5" t="s">
        <v>119</v>
      </c>
      <c r="F42" s="4" t="s">
        <v>270</v>
      </c>
      <c r="G42" s="5" t="s">
        <v>271</v>
      </c>
      <c r="H42" s="5" t="s">
        <v>76</v>
      </c>
      <c r="I42" s="4" t="s">
        <v>77</v>
      </c>
      <c r="J42" s="4" t="s">
        <v>165</v>
      </c>
      <c r="K42" s="5" t="s">
        <v>166</v>
      </c>
      <c r="L42" s="4" t="s">
        <v>32</v>
      </c>
      <c r="M42" s="6">
        <v>1767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f t="shared" si="2"/>
        <v>1767</v>
      </c>
      <c r="T42" s="7">
        <v>3550.8</v>
      </c>
      <c r="U42" s="7">
        <f t="shared" si="3"/>
        <v>6274263.6000000006</v>
      </c>
    </row>
    <row r="43" spans="1:21" x14ac:dyDescent="0.25">
      <c r="A43" s="8" t="s">
        <v>272</v>
      </c>
      <c r="B43" s="9" t="s">
        <v>34</v>
      </c>
      <c r="C43" s="8" t="s">
        <v>273</v>
      </c>
      <c r="D43" s="8" t="s">
        <v>274</v>
      </c>
      <c r="E43" s="9" t="s">
        <v>119</v>
      </c>
      <c r="F43" s="8" t="s">
        <v>275</v>
      </c>
      <c r="G43" s="9" t="s">
        <v>276</v>
      </c>
      <c r="H43" s="9" t="s">
        <v>59</v>
      </c>
      <c r="I43" s="8" t="s">
        <v>60</v>
      </c>
      <c r="J43" s="8" t="s">
        <v>165</v>
      </c>
      <c r="K43" s="9" t="s">
        <v>166</v>
      </c>
      <c r="L43" s="8" t="s">
        <v>41</v>
      </c>
      <c r="M43" s="10">
        <v>0</v>
      </c>
      <c r="N43" s="10">
        <v>0</v>
      </c>
      <c r="O43" s="10">
        <v>638</v>
      </c>
      <c r="P43" s="10">
        <v>0</v>
      </c>
      <c r="Q43" s="10">
        <v>0</v>
      </c>
      <c r="R43" s="10">
        <v>0</v>
      </c>
      <c r="S43" s="10">
        <f t="shared" si="2"/>
        <v>638</v>
      </c>
      <c r="T43" s="11">
        <v>3550.8</v>
      </c>
      <c r="U43" s="11">
        <f t="shared" si="3"/>
        <v>2265410.4</v>
      </c>
    </row>
    <row r="44" spans="1:21" x14ac:dyDescent="0.25">
      <c r="A44" s="4" t="s">
        <v>277</v>
      </c>
      <c r="B44" s="5" t="s">
        <v>43</v>
      </c>
      <c r="C44" s="4" t="s">
        <v>278</v>
      </c>
      <c r="D44" s="4" t="s">
        <v>279</v>
      </c>
      <c r="E44" s="5" t="s">
        <v>82</v>
      </c>
      <c r="F44" s="4" t="s">
        <v>280</v>
      </c>
      <c r="G44" s="5" t="s">
        <v>281</v>
      </c>
      <c r="H44" s="5" t="s">
        <v>49</v>
      </c>
      <c r="I44" s="4" t="s">
        <v>50</v>
      </c>
      <c r="J44" s="4" t="s">
        <v>157</v>
      </c>
      <c r="K44" s="5" t="s">
        <v>158</v>
      </c>
      <c r="L44" s="4" t="s">
        <v>41</v>
      </c>
      <c r="M44" s="6">
        <v>0</v>
      </c>
      <c r="N44" s="6">
        <v>0</v>
      </c>
      <c r="O44" s="6">
        <v>1765</v>
      </c>
      <c r="P44" s="6">
        <v>0</v>
      </c>
      <c r="Q44" s="6">
        <v>0</v>
      </c>
      <c r="R44" s="6">
        <v>0</v>
      </c>
      <c r="S44" s="6">
        <f t="shared" si="2"/>
        <v>1765</v>
      </c>
      <c r="T44" s="7">
        <v>760.4</v>
      </c>
      <c r="U44" s="7">
        <f t="shared" si="3"/>
        <v>1342106</v>
      </c>
    </row>
    <row r="45" spans="1:21" x14ac:dyDescent="0.25">
      <c r="A45" s="8" t="s">
        <v>282</v>
      </c>
      <c r="B45" s="9" t="s">
        <v>54</v>
      </c>
      <c r="C45" s="8" t="s">
        <v>283</v>
      </c>
      <c r="D45" s="8" t="s">
        <v>284</v>
      </c>
      <c r="E45" s="9" t="s">
        <v>67</v>
      </c>
      <c r="F45" s="8" t="s">
        <v>285</v>
      </c>
      <c r="G45" s="9" t="s">
        <v>286</v>
      </c>
      <c r="H45" s="9" t="s">
        <v>28</v>
      </c>
      <c r="I45" s="8" t="s">
        <v>29</v>
      </c>
      <c r="J45" s="8" t="s">
        <v>51</v>
      </c>
      <c r="K45" s="9" t="s">
        <v>52</v>
      </c>
      <c r="L45" s="8" t="s">
        <v>32</v>
      </c>
      <c r="M45" s="10">
        <v>0</v>
      </c>
      <c r="N45" s="10">
        <v>0</v>
      </c>
      <c r="O45" s="10">
        <v>1165</v>
      </c>
      <c r="P45" s="10">
        <v>0</v>
      </c>
      <c r="Q45" s="10">
        <v>0</v>
      </c>
      <c r="R45" s="10">
        <v>0</v>
      </c>
      <c r="S45" s="10">
        <f t="shared" si="2"/>
        <v>1165</v>
      </c>
      <c r="T45" s="11">
        <v>2450.5</v>
      </c>
      <c r="U45" s="11">
        <f t="shared" si="3"/>
        <v>2854832.5</v>
      </c>
    </row>
    <row r="46" spans="1:21" x14ac:dyDescent="0.25">
      <c r="A46" s="4" t="s">
        <v>287</v>
      </c>
      <c r="B46" s="5" t="s">
        <v>64</v>
      </c>
      <c r="C46" s="4" t="s">
        <v>288</v>
      </c>
      <c r="D46" s="4" t="s">
        <v>289</v>
      </c>
      <c r="E46" s="5" t="s">
        <v>67</v>
      </c>
      <c r="F46" s="4" t="s">
        <v>290</v>
      </c>
      <c r="G46" s="5" t="s">
        <v>291</v>
      </c>
      <c r="H46" s="5" t="s">
        <v>49</v>
      </c>
      <c r="I46" s="4" t="s">
        <v>50</v>
      </c>
      <c r="J46" s="4" t="s">
        <v>51</v>
      </c>
      <c r="K46" s="5" t="s">
        <v>52</v>
      </c>
      <c r="L46" s="4" t="s">
        <v>32</v>
      </c>
      <c r="M46" s="6">
        <v>1554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f t="shared" si="2"/>
        <v>1554</v>
      </c>
      <c r="T46" s="7">
        <v>2450.5</v>
      </c>
      <c r="U46" s="7">
        <f t="shared" si="3"/>
        <v>3808077</v>
      </c>
    </row>
    <row r="47" spans="1:21" x14ac:dyDescent="0.25">
      <c r="A47" s="8" t="s">
        <v>292</v>
      </c>
      <c r="B47" s="9" t="s">
        <v>71</v>
      </c>
      <c r="C47" s="8" t="s">
        <v>293</v>
      </c>
      <c r="D47" s="8" t="s">
        <v>294</v>
      </c>
      <c r="E47" s="9" t="s">
        <v>67</v>
      </c>
      <c r="F47" s="8" t="s">
        <v>295</v>
      </c>
      <c r="G47" s="9" t="s">
        <v>296</v>
      </c>
      <c r="H47" s="9" t="s">
        <v>28</v>
      </c>
      <c r="I47" s="8" t="s">
        <v>29</v>
      </c>
      <c r="J47" s="8" t="s">
        <v>30</v>
      </c>
      <c r="K47" s="9" t="s">
        <v>31</v>
      </c>
      <c r="L47" s="8" t="s">
        <v>41</v>
      </c>
      <c r="M47" s="10">
        <v>136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f t="shared" si="2"/>
        <v>136</v>
      </c>
      <c r="T47" s="11">
        <v>1420.1</v>
      </c>
      <c r="U47" s="11">
        <f t="shared" si="3"/>
        <v>193133.59999999998</v>
      </c>
    </row>
    <row r="48" spans="1:21" x14ac:dyDescent="0.25">
      <c r="A48" s="4" t="s">
        <v>297</v>
      </c>
      <c r="B48" s="5" t="s">
        <v>79</v>
      </c>
      <c r="C48" s="4" t="s">
        <v>298</v>
      </c>
      <c r="D48" s="4" t="s">
        <v>299</v>
      </c>
      <c r="E48" s="5" t="s">
        <v>119</v>
      </c>
      <c r="F48" s="4" t="s">
        <v>300</v>
      </c>
      <c r="G48" s="5" t="s">
        <v>301</v>
      </c>
      <c r="H48" s="5" t="s">
        <v>39</v>
      </c>
      <c r="I48" s="4" t="s">
        <v>40</v>
      </c>
      <c r="J48" s="4" t="s">
        <v>51</v>
      </c>
      <c r="K48" s="5" t="s">
        <v>52</v>
      </c>
      <c r="L48" s="4" t="s">
        <v>41</v>
      </c>
      <c r="M48" s="6">
        <v>0</v>
      </c>
      <c r="N48" s="6">
        <v>0</v>
      </c>
      <c r="O48" s="6">
        <v>1948</v>
      </c>
      <c r="P48" s="6">
        <v>0</v>
      </c>
      <c r="Q48" s="6">
        <v>0</v>
      </c>
      <c r="R48" s="6">
        <v>0</v>
      </c>
      <c r="S48" s="6">
        <f t="shared" si="2"/>
        <v>1948</v>
      </c>
      <c r="T48" s="7">
        <v>2450.5</v>
      </c>
      <c r="U48" s="7">
        <f t="shared" si="3"/>
        <v>4773574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2026-07-09T06:05:08Z</dcterms:created>
  <dcterms:modified xsi:type="dcterms:W3CDTF">2026-07-09T06:16:39Z</dcterms:modified>
</cp:coreProperties>
</file>